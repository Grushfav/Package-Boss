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sh\Master\Package-Boss\frontend\"/>
    </mc:Choice>
  </mc:AlternateContent>
  <xr:revisionPtr revIDLastSave="0" documentId="13_ncr:1_{F24B36A7-5915-4E26-9FAB-9CC6DA7965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C3" i="1" l="1"/>
  <c r="C2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C4" i="1" l="1"/>
  <c r="C5" i="1" l="1"/>
  <c r="C6" i="1" l="1"/>
  <c r="B12" i="1" l="1"/>
  <c r="B13" i="1" s="1"/>
  <c r="B14" i="1" s="1"/>
  <c r="C7" i="1"/>
  <c r="C8" i="1" l="1"/>
  <c r="C9" i="1" l="1"/>
  <c r="C10" i="1" l="1"/>
  <c r="C11" i="1" l="1"/>
  <c r="C12" i="1" l="1"/>
  <c r="C13" i="1" l="1"/>
  <c r="B15" i="1" l="1"/>
  <c r="B16" i="1" s="1"/>
  <c r="B17" i="1" s="1"/>
  <c r="B18" i="1" s="1"/>
  <c r="B19" i="1" s="1"/>
  <c r="C14" i="1"/>
  <c r="C15" i="1" l="1"/>
  <c r="C16" i="1" l="1"/>
  <c r="C17" i="1" l="1"/>
  <c r="C18" i="1" l="1"/>
  <c r="C19" i="1" l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l="1"/>
  <c r="B32" i="1" s="1"/>
  <c r="B33" i="1" s="1"/>
  <c r="C20" i="1"/>
  <c r="B34" i="1" l="1"/>
  <c r="B35" i="1" s="1"/>
  <c r="C21" i="1"/>
  <c r="B36" i="1" l="1"/>
  <c r="B37" i="1" s="1"/>
  <c r="B38" i="1" s="1"/>
  <c r="B39" i="1" s="1"/>
  <c r="B40" i="1" s="1"/>
  <c r="B41" i="1" s="1"/>
  <c r="B42" i="1" s="1"/>
  <c r="B43" i="1" s="1"/>
  <c r="C22" i="1"/>
  <c r="B44" i="1" l="1"/>
  <c r="B45" i="1" s="1"/>
  <c r="B46" i="1" s="1"/>
  <c r="B47" i="1" s="1"/>
  <c r="C23" i="1"/>
  <c r="B48" i="1" l="1"/>
  <c r="B49" i="1" s="1"/>
  <c r="B50" i="1" s="1"/>
  <c r="B51" i="1" s="1"/>
  <c r="C24" i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1" i="1" l="1"/>
  <c r="C50" i="1"/>
</calcChain>
</file>

<file path=xl/sharedStrings.xml><?xml version="1.0" encoding="utf-8"?>
<sst xmlns="http://schemas.openxmlformats.org/spreadsheetml/2006/main" count="4" uniqueCount="4">
  <si>
    <t>JMD</t>
  </si>
  <si>
    <t>USD</t>
  </si>
  <si>
    <t>LBS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</si>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</sst>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B49" sqref="B49"/>
    </sheetView>
  </sheetViews>
  <sheetFormatPr defaultRowHeight="14.5" x14ac:dyDescent="0.35"/>
  <cols>
    <col min="2" max="2" width="14" customWidth="1"/>
    <col min="3" max="3" width="1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ht="15.5" x14ac:dyDescent="0.35">
      <c r="A2" s="2">
        <v>1</v>
      </c>
      <c r="B2" s="3">
        <v>700</v>
      </c>
      <c r="C2" s="3">
        <f>B2/160</f>
        <v>4.375</v>
      </c>
    </row>
    <row r="3" spans="1:3" ht="15.5" x14ac:dyDescent="0.35">
      <c r="A3" s="2">
        <v>2</v>
      </c>
      <c r="B3" s="3">
        <f>B2+400</f>
        <v>1100</v>
      </c>
      <c r="C3" s="3">
        <f>B3/160</f>
        <v>6.875</v>
      </c>
    </row>
    <row r="4" spans="1:3" ht="15.5" x14ac:dyDescent="0.35">
      <c r="A4" s="4">
        <v>3</v>
      </c>
      <c r="B4" s="5">
        <f>B3+400</f>
        <v>1500</v>
      </c>
      <c r="C4" s="3">
        <f>B4/160</f>
        <v>9.375</v>
      </c>
    </row>
    <row r="5" spans="1:3" ht="15.5" x14ac:dyDescent="0.35">
      <c r="A5" s="2">
        <v>4</v>
      </c>
      <c r="B5" s="3">
        <f>B4+400</f>
        <v>1900</v>
      </c>
      <c r="C5" s="3">
        <f>B5/160</f>
        <v>11.875</v>
      </c>
    </row>
    <row r="6" spans="1:3" ht="15.5" x14ac:dyDescent="0.35">
      <c r="A6" s="2">
        <v>5</v>
      </c>
      <c r="B6" s="3">
        <f>B5+450</f>
        <v>2350</v>
      </c>
      <c r="C6" s="3">
        <f t="shared" ref="C6:C51" si="0">B6/160</f>
        <v>14.6875</v>
      </c>
    </row>
    <row r="7" spans="1:3" ht="15.5" x14ac:dyDescent="0.35">
      <c r="A7" s="2">
        <v>6</v>
      </c>
      <c r="B7" s="3">
        <f>B6+400</f>
        <v>2750</v>
      </c>
      <c r="C7" s="3">
        <f t="shared" si="0"/>
        <v>17.1875</v>
      </c>
    </row>
    <row r="8" spans="1:3" ht="15.5" x14ac:dyDescent="0.35">
      <c r="A8" s="2">
        <v>7</v>
      </c>
      <c r="B8" s="3">
        <f>B7+400</f>
        <v>3150</v>
      </c>
      <c r="C8" s="3">
        <f t="shared" si="0"/>
        <v>19.6875</v>
      </c>
    </row>
    <row r="9" spans="1:3" ht="15.5" x14ac:dyDescent="0.35">
      <c r="A9" s="2">
        <v>8</v>
      </c>
      <c r="B9" s="3">
        <f>B8+400</f>
        <v>3550</v>
      </c>
      <c r="C9" s="3">
        <f t="shared" si="0"/>
        <v>22.1875</v>
      </c>
    </row>
    <row r="10" spans="1:3" ht="15.5" x14ac:dyDescent="0.35">
      <c r="A10" s="2">
        <v>9</v>
      </c>
      <c r="B10" s="3">
        <f>B9+450</f>
        <v>4000</v>
      </c>
      <c r="C10" s="3">
        <f t="shared" si="0"/>
        <v>25</v>
      </c>
    </row>
    <row r="11" spans="1:3" ht="15.5" x14ac:dyDescent="0.35">
      <c r="A11" s="2">
        <v>10</v>
      </c>
      <c r="B11" s="3">
        <f>B10+650</f>
        <v>4650</v>
      </c>
      <c r="C11" s="3">
        <f t="shared" si="0"/>
        <v>29.0625</v>
      </c>
    </row>
    <row r="12" spans="1:3" ht="15.5" x14ac:dyDescent="0.35">
      <c r="A12" s="2">
        <v>11</v>
      </c>
      <c r="B12" s="3">
        <f>B11+400</f>
        <v>5050</v>
      </c>
      <c r="C12" s="3">
        <f t="shared" si="0"/>
        <v>31.5625</v>
      </c>
    </row>
    <row r="13" spans="1:3" ht="15.5" x14ac:dyDescent="0.35">
      <c r="A13" s="2">
        <v>12</v>
      </c>
      <c r="B13" s="3">
        <f>B12+450</f>
        <v>5500</v>
      </c>
      <c r="C13" s="3">
        <f t="shared" si="0"/>
        <v>34.375</v>
      </c>
    </row>
    <row r="14" spans="1:3" ht="15.5" x14ac:dyDescent="0.35">
      <c r="A14" s="2">
        <v>13</v>
      </c>
      <c r="B14" s="3">
        <f>B13+400</f>
        <v>5900</v>
      </c>
      <c r="C14" s="3">
        <f t="shared" si="0"/>
        <v>36.875</v>
      </c>
    </row>
    <row r="15" spans="1:3" ht="15.5" x14ac:dyDescent="0.35">
      <c r="A15" s="2">
        <v>14</v>
      </c>
      <c r="B15" s="3">
        <f>B14+400</f>
        <v>6300</v>
      </c>
      <c r="C15" s="3">
        <f t="shared" si="0"/>
        <v>39.375</v>
      </c>
    </row>
    <row r="16" spans="1:3" ht="15.5" x14ac:dyDescent="0.35">
      <c r="A16" s="2">
        <v>15</v>
      </c>
      <c r="B16" s="3">
        <f>B15+400</f>
        <v>6700</v>
      </c>
      <c r="C16" s="3">
        <f t="shared" si="0"/>
        <v>41.875</v>
      </c>
    </row>
    <row r="17" spans="1:8" ht="15.5" x14ac:dyDescent="0.35">
      <c r="A17" s="2">
        <v>16</v>
      </c>
      <c r="B17" s="3">
        <f>B16+400</f>
        <v>7100</v>
      </c>
      <c r="C17" s="3">
        <f t="shared" si="0"/>
        <v>44.375</v>
      </c>
    </row>
    <row r="18" spans="1:8" ht="15.5" x14ac:dyDescent="0.35">
      <c r="A18" s="2">
        <v>17</v>
      </c>
      <c r="B18" s="3">
        <f>B17+400</f>
        <v>7500</v>
      </c>
      <c r="C18" s="3">
        <f t="shared" si="0"/>
        <v>46.875</v>
      </c>
    </row>
    <row r="19" spans="1:8" ht="15.5" x14ac:dyDescent="0.35">
      <c r="A19" s="2">
        <v>18</v>
      </c>
      <c r="B19" s="3">
        <f>B18+450</f>
        <v>7950</v>
      </c>
      <c r="C19" s="3">
        <f t="shared" si="0"/>
        <v>49.6875</v>
      </c>
    </row>
    <row r="20" spans="1:8" ht="15.5" x14ac:dyDescent="0.35">
      <c r="A20" s="2">
        <v>19</v>
      </c>
      <c r="B20" s="3">
        <f>B19+400</f>
        <v>8350</v>
      </c>
      <c r="C20" s="3">
        <f t="shared" si="0"/>
        <v>52.1875</v>
      </c>
    </row>
    <row r="21" spans="1:8" ht="15.5" x14ac:dyDescent="0.35">
      <c r="A21" s="2">
        <v>20</v>
      </c>
      <c r="B21" s="3">
        <f>B20+400</f>
        <v>8750</v>
      </c>
      <c r="C21" s="3">
        <f t="shared" si="0"/>
        <v>54.6875</v>
      </c>
      <c r="H21" t="s">
        <v>3</v>
      </c>
    </row>
    <row r="22" spans="1:8" ht="15.5" x14ac:dyDescent="0.35">
      <c r="A22" s="2">
        <f>A21+1</f>
        <v>21</v>
      </c>
      <c r="B22" s="6">
        <f>B21+400</f>
        <v>9150</v>
      </c>
      <c r="C22" s="3">
        <f t="shared" si="0"/>
        <v>57.1875</v>
      </c>
    </row>
    <row r="23" spans="1:8" ht="15.5" x14ac:dyDescent="0.35">
      <c r="A23" s="2">
        <f t="shared" ref="A23:A51" si="1">A22+1</f>
        <v>22</v>
      </c>
      <c r="B23" s="6">
        <f>B22+500</f>
        <v>9650</v>
      </c>
      <c r="C23" s="3">
        <f t="shared" si="0"/>
        <v>60.3125</v>
      </c>
    </row>
    <row r="24" spans="1:8" ht="15.5" x14ac:dyDescent="0.35">
      <c r="A24" s="2">
        <f t="shared" si="1"/>
        <v>23</v>
      </c>
      <c r="B24" s="6">
        <f t="shared" ref="B24:B51" si="2">B23+300</f>
        <v>9950</v>
      </c>
      <c r="C24" s="3">
        <f t="shared" si="0"/>
        <v>62.1875</v>
      </c>
    </row>
    <row r="25" spans="1:8" ht="15.5" x14ac:dyDescent="0.35">
      <c r="A25" s="2">
        <f t="shared" si="1"/>
        <v>24</v>
      </c>
      <c r="B25" s="6">
        <f>B24+400</f>
        <v>10350</v>
      </c>
      <c r="C25" s="3">
        <f t="shared" si="0"/>
        <v>64.6875</v>
      </c>
    </row>
    <row r="26" spans="1:8" ht="15.5" x14ac:dyDescent="0.35">
      <c r="A26" s="2">
        <f t="shared" si="1"/>
        <v>25</v>
      </c>
      <c r="B26" s="6">
        <f>B25+400</f>
        <v>10750</v>
      </c>
      <c r="C26" s="3">
        <f t="shared" si="0"/>
        <v>67.1875</v>
      </c>
    </row>
    <row r="27" spans="1:8" ht="15.5" x14ac:dyDescent="0.35">
      <c r="A27" s="2">
        <f t="shared" si="1"/>
        <v>26</v>
      </c>
      <c r="B27" s="6">
        <f>B26+450</f>
        <v>11200</v>
      </c>
      <c r="C27" s="3">
        <f t="shared" si="0"/>
        <v>70</v>
      </c>
    </row>
    <row r="28" spans="1:8" ht="15.5" x14ac:dyDescent="0.35">
      <c r="A28" s="2">
        <f t="shared" si="1"/>
        <v>27</v>
      </c>
      <c r="B28" s="6">
        <f>B27+400</f>
        <v>11600</v>
      </c>
      <c r="C28" s="3">
        <f t="shared" si="0"/>
        <v>72.5</v>
      </c>
    </row>
    <row r="29" spans="1:8" ht="15.5" x14ac:dyDescent="0.35">
      <c r="A29" s="2">
        <f t="shared" si="1"/>
        <v>28</v>
      </c>
      <c r="B29" s="6">
        <f>B28+400</f>
        <v>12000</v>
      </c>
      <c r="C29" s="3">
        <f t="shared" si="0"/>
        <v>75</v>
      </c>
    </row>
    <row r="30" spans="1:8" ht="15.5" x14ac:dyDescent="0.35">
      <c r="A30" s="2">
        <f t="shared" si="1"/>
        <v>29</v>
      </c>
      <c r="B30" s="6">
        <f>B29+400</f>
        <v>12400</v>
      </c>
      <c r="C30" s="3">
        <f t="shared" si="0"/>
        <v>77.5</v>
      </c>
    </row>
    <row r="31" spans="1:8" ht="15.5" x14ac:dyDescent="0.35">
      <c r="A31" s="2">
        <f t="shared" si="1"/>
        <v>30</v>
      </c>
      <c r="B31" s="6">
        <f>B30+2000</f>
        <v>14400</v>
      </c>
      <c r="C31" s="3">
        <f t="shared" si="0"/>
        <v>90</v>
      </c>
    </row>
    <row r="32" spans="1:8" ht="15.5" x14ac:dyDescent="0.35">
      <c r="A32" s="2">
        <f t="shared" si="1"/>
        <v>31</v>
      </c>
      <c r="B32" s="6">
        <f>B31+350</f>
        <v>14750</v>
      </c>
      <c r="C32" s="3">
        <f t="shared" si="0"/>
        <v>92.1875</v>
      </c>
    </row>
    <row r="33" spans="1:3" ht="15.5" x14ac:dyDescent="0.35">
      <c r="A33" s="2">
        <f t="shared" si="1"/>
        <v>32</v>
      </c>
      <c r="B33" s="6">
        <f>B32+400</f>
        <v>15150</v>
      </c>
      <c r="C33" s="3">
        <f t="shared" si="0"/>
        <v>94.6875</v>
      </c>
    </row>
    <row r="34" spans="1:3" ht="15.5" x14ac:dyDescent="0.35">
      <c r="A34" s="2">
        <f t="shared" si="1"/>
        <v>33</v>
      </c>
      <c r="B34" s="6">
        <f>B33+700</f>
        <v>15850</v>
      </c>
      <c r="C34" s="3">
        <f t="shared" si="0"/>
        <v>99.0625</v>
      </c>
    </row>
    <row r="35" spans="1:3" ht="15.5" x14ac:dyDescent="0.35">
      <c r="A35" s="2">
        <f t="shared" si="1"/>
        <v>34</v>
      </c>
      <c r="B35" s="6">
        <f t="shared" si="2"/>
        <v>16150</v>
      </c>
      <c r="C35" s="3">
        <f t="shared" si="0"/>
        <v>100.9375</v>
      </c>
    </row>
    <row r="36" spans="1:3" ht="15.5" x14ac:dyDescent="0.35">
      <c r="A36" s="2">
        <f t="shared" si="1"/>
        <v>35</v>
      </c>
      <c r="B36" s="6">
        <f>B35+600</f>
        <v>16750</v>
      </c>
      <c r="C36" s="3">
        <f t="shared" si="0"/>
        <v>104.6875</v>
      </c>
    </row>
    <row r="37" spans="1:3" ht="15.5" x14ac:dyDescent="0.35">
      <c r="A37" s="2">
        <f t="shared" si="1"/>
        <v>36</v>
      </c>
      <c r="B37" s="6">
        <f>B36+500</f>
        <v>17250</v>
      </c>
      <c r="C37" s="3">
        <f t="shared" si="0"/>
        <v>107.8125</v>
      </c>
    </row>
    <row r="38" spans="1:3" ht="15.5" x14ac:dyDescent="0.35">
      <c r="A38" s="2">
        <f t="shared" si="1"/>
        <v>37</v>
      </c>
      <c r="B38" s="6">
        <f>B37+500</f>
        <v>17750</v>
      </c>
      <c r="C38" s="3">
        <f t="shared" si="0"/>
        <v>110.9375</v>
      </c>
    </row>
    <row r="39" spans="1:3" ht="15.5" x14ac:dyDescent="0.35">
      <c r="A39" s="2">
        <f t="shared" si="1"/>
        <v>38</v>
      </c>
      <c r="B39" s="6">
        <f>B38+500</f>
        <v>18250</v>
      </c>
      <c r="C39" s="3">
        <f t="shared" si="0"/>
        <v>114.0625</v>
      </c>
    </row>
    <row r="40" spans="1:3" ht="15.5" x14ac:dyDescent="0.35">
      <c r="A40" s="2">
        <f t="shared" si="1"/>
        <v>39</v>
      </c>
      <c r="B40" s="6">
        <f>B39+500</f>
        <v>18750</v>
      </c>
      <c r="C40" s="3">
        <f t="shared" si="0"/>
        <v>117.1875</v>
      </c>
    </row>
    <row r="41" spans="1:3" ht="15.5" x14ac:dyDescent="0.35">
      <c r="A41" s="2">
        <f t="shared" si="1"/>
        <v>40</v>
      </c>
      <c r="B41" s="6">
        <f>B40+400</f>
        <v>19150</v>
      </c>
      <c r="C41" s="3">
        <f t="shared" si="0"/>
        <v>119.6875</v>
      </c>
    </row>
    <row r="42" spans="1:3" ht="15.5" x14ac:dyDescent="0.35">
      <c r="A42" s="2">
        <f t="shared" si="1"/>
        <v>41</v>
      </c>
      <c r="B42" s="6">
        <f>B41+500</f>
        <v>19650</v>
      </c>
      <c r="C42" s="3">
        <f t="shared" si="0"/>
        <v>122.8125</v>
      </c>
    </row>
    <row r="43" spans="1:3" ht="15.5" x14ac:dyDescent="0.35">
      <c r="A43" s="2">
        <f t="shared" si="1"/>
        <v>42</v>
      </c>
      <c r="B43" s="6">
        <f>B42+450</f>
        <v>20100</v>
      </c>
      <c r="C43" s="3">
        <f t="shared" si="0"/>
        <v>125.625</v>
      </c>
    </row>
    <row r="44" spans="1:3" ht="15.5" x14ac:dyDescent="0.35">
      <c r="A44" s="2">
        <f t="shared" si="1"/>
        <v>43</v>
      </c>
      <c r="B44" s="6">
        <f>B43+450</f>
        <v>20550</v>
      </c>
      <c r="C44" s="3">
        <f t="shared" si="0"/>
        <v>128.4375</v>
      </c>
    </row>
    <row r="45" spans="1:3" ht="15.5" x14ac:dyDescent="0.35">
      <c r="A45" s="2">
        <f t="shared" si="1"/>
        <v>44</v>
      </c>
      <c r="B45" s="6">
        <f>B44+550</f>
        <v>21100</v>
      </c>
      <c r="C45" s="3">
        <f t="shared" si="0"/>
        <v>131.875</v>
      </c>
    </row>
    <row r="46" spans="1:3" ht="15.5" x14ac:dyDescent="0.35">
      <c r="A46" s="2">
        <f t="shared" si="1"/>
        <v>45</v>
      </c>
      <c r="B46" s="6">
        <f>B45+450</f>
        <v>21550</v>
      </c>
      <c r="C46" s="3">
        <f t="shared" si="0"/>
        <v>134.6875</v>
      </c>
    </row>
    <row r="47" spans="1:3" ht="15.5" x14ac:dyDescent="0.35">
      <c r="A47" s="2">
        <f t="shared" si="1"/>
        <v>46</v>
      </c>
      <c r="B47" s="6">
        <f>B46+450</f>
        <v>22000</v>
      </c>
      <c r="C47" s="3">
        <f t="shared" si="0"/>
        <v>137.5</v>
      </c>
    </row>
    <row r="48" spans="1:3" ht="15.5" x14ac:dyDescent="0.35">
      <c r="A48" s="2">
        <f t="shared" si="1"/>
        <v>47</v>
      </c>
      <c r="B48" s="6">
        <f>B47+500</f>
        <v>22500</v>
      </c>
      <c r="C48" s="3">
        <f t="shared" si="0"/>
        <v>140.625</v>
      </c>
    </row>
    <row r="49" spans="1:3" ht="15.5" x14ac:dyDescent="0.35">
      <c r="A49" s="2">
        <f t="shared" si="1"/>
        <v>48</v>
      </c>
      <c r="B49" s="6">
        <f>B48+400</f>
        <v>22900</v>
      </c>
      <c r="C49" s="3">
        <f t="shared" si="0"/>
        <v>143.125</v>
      </c>
    </row>
    <row r="50" spans="1:3" ht="15.5" x14ac:dyDescent="0.35">
      <c r="A50" s="2">
        <f t="shared" si="1"/>
        <v>49</v>
      </c>
      <c r="B50" s="6">
        <f>B49+600</f>
        <v>23500</v>
      </c>
      <c r="C50" s="3">
        <f t="shared" si="0"/>
        <v>146.875</v>
      </c>
    </row>
    <row r="51" spans="1:3" ht="15.5" x14ac:dyDescent="0.35">
      <c r="A51" s="2">
        <f t="shared" si="1"/>
        <v>50</v>
      </c>
      <c r="B51" s="6">
        <f t="shared" si="2"/>
        <v>23800</v>
      </c>
      <c r="C51" s="3">
        <f t="shared" si="0"/>
        <v>148.75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Jarrett</dc:creator>
  <cp:lastModifiedBy>Gavin Seaton</cp:lastModifiedBy>
  <dcterms:created xsi:type="dcterms:W3CDTF">2026-06-25T02:24:05Z</dcterms:created>
  <dcterms:modified xsi:type="dcterms:W3CDTF">2026-09-28T13:30:14Z</dcterms:modified>
</cp:coreProperties>
</file>